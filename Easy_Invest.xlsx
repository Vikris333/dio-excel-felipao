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2C1E6650-5319-4B8C-B958-AED0DC9EEE72}" xr6:coauthVersionLast="47" xr6:coauthVersionMax="47" xr10:uidLastSave="{00000000-0000-0000-0000-000000000000}"/>
  <bookViews>
    <workbookView xWindow="-120" yWindow="-120" windowWidth="38640" windowHeight="21840" tabRatio="0" xr2:uid="{00000000-000D-0000-FFFF-FFFF00000000}"/>
  </bookViews>
  <sheets>
    <sheet name="APP" sheetId="1" r:id="rId1"/>
    <sheet name="REF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2" l="1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7" i="1" s="1"/>
  <c r="C33" i="1"/>
  <c r="D14" i="1"/>
  <c r="D37" i="1" l="1"/>
  <c r="C41" i="1"/>
  <c r="D41" i="1" s="1"/>
  <c r="C36" i="1"/>
  <c r="D36" i="1" s="1"/>
  <c r="C40" i="1"/>
  <c r="D40" i="1" s="1"/>
  <c r="C39" i="1"/>
  <c r="D39" i="1" s="1"/>
  <c r="C38" i="1"/>
  <c r="D38" i="1" s="1"/>
  <c r="D42" i="1" l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</calcChain>
</file>

<file path=xl/sharedStrings.xml><?xml version="1.0" encoding="utf-8"?>
<sst xmlns="http://schemas.openxmlformats.org/spreadsheetml/2006/main" count="69" uniqueCount="33">
  <si>
    <t>INVENTIMENTO MENSAL</t>
  </si>
  <si>
    <t>Cenários</t>
  </si>
  <si>
    <t>Dividendo</t>
  </si>
  <si>
    <t>Rendimento carteira</t>
  </si>
  <si>
    <t>Salário</t>
  </si>
  <si>
    <t>CONFIGURAÇÕES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</si>
  <si>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</si>
  <si>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</si>
  <si>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</si>
  <si>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</si>
  <si>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</si>
  <si>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</si>
  <si>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</si>
  <si>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</si>
  <si>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</si>
  <si>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</si>
  <si>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</si>
  <si>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</si>
  <si>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</si>
  <si>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</si>
  <si>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</si>
  <si>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Conservador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</si>
  <si>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</si>
  <si>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</si>
  <si>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</si>
  <si>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</si>
  <si>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</si>
  <si>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2 anos ?</t>
  </si>
  <si>
    <t>Quanto em 10 anos ?</t>
  </si>
  <si>
    <t>Quanto em 5 anos ?</t>
  </si>
  <si>
    <t>Quanto em 20 anos ?</t>
  </si>
  <si>
    <t>Quanto em 30 anos ?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</si>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</sst>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Segoe UI Semibold"/>
      <family val="2"/>
    </font>
    <font>
      <sz val="12"/>
      <color rgb="FF9C5700"/>
      <name val="Aptos Narrow"/>
      <family val="2"/>
      <scheme val="minor"/>
    </font>
    <font>
      <sz val="12"/>
      <color rgb="FF9C570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186C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4.9989318521683403E-2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14996795556505021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8" fillId="2" borderId="10" xfId="0" applyFont="1" applyFill="1" applyBorder="1" applyAlignment="1">
      <alignment horizontal="left" indent="3"/>
    </xf>
    <xf numFmtId="8" fontId="9" fillId="2" borderId="11" xfId="0" applyNumberFormat="1" applyFont="1" applyFill="1" applyBorder="1" applyAlignment="1">
      <alignment horizontal="center"/>
    </xf>
    <xf numFmtId="8" fontId="9" fillId="2" borderId="12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left" indent="3"/>
    </xf>
    <xf numFmtId="8" fontId="9" fillId="2" borderId="14" xfId="0" applyNumberFormat="1" applyFont="1" applyFill="1" applyBorder="1" applyAlignment="1">
      <alignment horizontal="center"/>
    </xf>
    <xf numFmtId="8" fontId="9" fillId="2" borderId="15" xfId="0" applyNumberFormat="1" applyFont="1" applyFill="1" applyBorder="1" applyAlignment="1">
      <alignment horizontal="center"/>
    </xf>
    <xf numFmtId="0" fontId="8" fillId="2" borderId="16" xfId="0" applyFont="1" applyFill="1" applyBorder="1" applyAlignment="1">
      <alignment horizontal="left" indent="3"/>
    </xf>
    <xf numFmtId="8" fontId="9" fillId="2" borderId="17" xfId="0" applyNumberFormat="1" applyFont="1" applyFill="1" applyBorder="1" applyAlignment="1">
      <alignment horizontal="center"/>
    </xf>
    <xf numFmtId="8" fontId="9" fillId="2" borderId="18" xfId="0" applyNumberFormat="1" applyFont="1" applyFill="1" applyBorder="1" applyAlignment="1">
      <alignment horizontal="center"/>
    </xf>
    <xf numFmtId="8" fontId="10" fillId="2" borderId="24" xfId="0" applyNumberFormat="1" applyFont="1" applyFill="1" applyBorder="1" applyAlignment="1">
      <alignment horizontal="center"/>
    </xf>
    <xf numFmtId="8" fontId="10" fillId="2" borderId="27" xfId="0" applyNumberFormat="1" applyFont="1" applyFill="1" applyBorder="1" applyAlignment="1">
      <alignment horizontal="center"/>
    </xf>
    <xf numFmtId="164" fontId="9" fillId="2" borderId="27" xfId="0" applyNumberFormat="1" applyFont="1" applyFill="1" applyBorder="1" applyAlignment="1">
      <alignment horizontal="center"/>
    </xf>
    <xf numFmtId="0" fontId="5" fillId="3" borderId="0" xfId="3"/>
    <xf numFmtId="0" fontId="4" fillId="5" borderId="2" xfId="0" applyFont="1" applyFill="1" applyBorder="1" applyAlignment="1">
      <alignment horizontal="center" vertical="center"/>
    </xf>
    <xf numFmtId="0" fontId="0" fillId="7" borderId="0" xfId="0" applyFill="1"/>
    <xf numFmtId="9" fontId="0" fillId="0" borderId="0" xfId="0" applyNumberFormat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3" borderId="0" xfId="3" applyFont="1" applyAlignment="1">
      <alignment horizontal="center"/>
    </xf>
    <xf numFmtId="0" fontId="14" fillId="3" borderId="0" xfId="3" applyFont="1"/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4" fontId="9" fillId="6" borderId="0" xfId="0" applyNumberFormat="1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12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2" fillId="2" borderId="0" xfId="0" applyFont="1" applyFill="1"/>
    <xf numFmtId="164" fontId="9" fillId="0" borderId="30" xfId="1" applyNumberFormat="1" applyFont="1" applyBorder="1" applyAlignment="1" applyProtection="1">
      <alignment horizontal="center"/>
      <protection locked="0"/>
    </xf>
    <xf numFmtId="10" fontId="9" fillId="0" borderId="24" xfId="0" applyNumberFormat="1" applyFont="1" applyBorder="1" applyAlignment="1" applyProtection="1">
      <alignment horizontal="center"/>
      <protection locked="0"/>
    </xf>
    <xf numFmtId="164" fontId="10" fillId="0" borderId="21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10" fontId="10" fillId="0" borderId="24" xfId="2" applyNumberFormat="1" applyFont="1" applyBorder="1" applyAlignment="1" applyProtection="1">
      <alignment horizontal="center"/>
      <protection locked="0"/>
    </xf>
    <xf numFmtId="0" fontId="7" fillId="5" borderId="1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8" fillId="2" borderId="28" xfId="0" applyFont="1" applyFill="1" applyBorder="1" applyAlignment="1">
      <alignment horizontal="left" indent="3"/>
    </xf>
    <xf numFmtId="0" fontId="8" fillId="2" borderId="29" xfId="0" applyFont="1" applyFill="1" applyBorder="1" applyAlignment="1">
      <alignment horizontal="left" indent="3"/>
    </xf>
    <xf numFmtId="0" fontId="8" fillId="2" borderId="22" xfId="0" applyFont="1" applyFill="1" applyBorder="1" applyAlignment="1">
      <alignment horizontal="left" indent="3"/>
    </xf>
    <xf numFmtId="0" fontId="8" fillId="2" borderId="23" xfId="0" applyFont="1" applyFill="1" applyBorder="1" applyAlignment="1">
      <alignment horizontal="left" indent="3"/>
    </xf>
    <xf numFmtId="0" fontId="8" fillId="2" borderId="25" xfId="0" applyFont="1" applyFill="1" applyBorder="1" applyAlignment="1">
      <alignment horizontal="left" indent="3"/>
    </xf>
    <xf numFmtId="0" fontId="8" fillId="2" borderId="26" xfId="0" applyFont="1" applyFill="1" applyBorder="1" applyAlignment="1">
      <alignment horizontal="left" indent="3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indent="3"/>
    </xf>
    <xf numFmtId="0" fontId="8" fillId="2" borderId="20" xfId="0" applyFont="1" applyFill="1" applyBorder="1" applyAlignment="1">
      <alignment horizontal="left" indent="3"/>
    </xf>
    <xf numFmtId="0" fontId="11" fillId="2" borderId="22" xfId="0" applyFont="1" applyFill="1" applyBorder="1" applyAlignment="1">
      <alignment horizontal="left" indent="3"/>
    </xf>
    <xf numFmtId="0" fontId="11" fillId="2" borderId="23" xfId="0" applyFont="1" applyFill="1" applyBorder="1" applyAlignment="1">
      <alignment horizontal="left" indent="3"/>
    </xf>
    <xf numFmtId="0" fontId="11" fillId="2" borderId="25" xfId="0" applyFont="1" applyFill="1" applyBorder="1" applyAlignment="1">
      <alignment horizontal="left" indent="3"/>
    </xf>
    <xf numFmtId="0" fontId="11" fillId="2" borderId="26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Medium9"/>
  <colors>
    <mruColors>
      <color rgb="FF0C786B"/>
      <color rgb="FF186C62"/>
      <color rgb="FF3FBF7F"/>
      <color rgb="FF27774F"/>
      <color rgb="FF339966"/>
      <color rgb="FF008080"/>
      <color rgb="FF006666"/>
      <color rgb="FF006699"/>
      <color rgb="FF00898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A7-4FB6-826D-CE29878502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A7-4FB6-826D-CE29878502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A7-4FB6-826D-CE29878502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A7-4FB6-826D-CE29878502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A7-4FB6-826D-CE29878502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A7-4FB6-826D-CE29878502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ED2-A446-EE62344F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671512</xdr:colOff>
      <xdr:row>43</xdr:row>
      <xdr:rowOff>57150</xdr:rowOff>
    </xdr:from>
    <xdr:to>
      <xdr:col>3</xdr:col>
      <xdr:colOff>652462</xdr:colOff>
      <xdr:row>57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509830-39A6-FE33-6A7A-D8205082A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171451</xdr:colOff>
      <xdr:row>0</xdr:row>
      <xdr:rowOff>133351</xdr:rowOff>
    </xdr:from>
    <xdr:to>
      <xdr:col>4</xdr:col>
      <xdr:colOff>314326</xdr:colOff>
      <xdr:row>9</xdr:row>
      <xdr:rowOff>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C7FF007-FFEB-ED83-7FFD-6962417B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133351"/>
          <a:ext cx="6553200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H78"/>
  <sheetViews>
    <sheetView showGridLines="0" showRowColHeaders="0" tabSelected="1" workbookViewId="0">
      <selection activeCell="D12" sqref="D12"/>
    </sheetView>
  </sheetViews>
  <sheetFormatPr defaultColWidth="0" defaultRowHeight="15" x14ac:dyDescent="0.25"/>
  <cols>
    <col min="1" max="1" width="6.5703125" customWidth="1"/>
    <col min="2" max="2" width="49.42578125" customWidth="1"/>
    <col min="3" max="3" width="21.42578125" bestFit="1" customWidth="1"/>
    <col min="4" max="4" width="18.7109375" customWidth="1"/>
    <col min="5" max="5" width="6.140625" customWidth="1"/>
    <col min="6" max="6" width="4" customWidth="1"/>
    <col min="7" max="7" width="4.7109375" customWidth="1"/>
    <col min="8" max="8" width="5.28515625" hidden="1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29.25" customHeight="1" x14ac:dyDescent="0.25">
      <c r="B11" s="47" t="s">
        <v>5</v>
      </c>
      <c r="C11" s="48"/>
      <c r="D11" s="49"/>
    </row>
    <row r="12" spans="2:4" ht="17.25" x14ac:dyDescent="0.3">
      <c r="B12" s="41" t="s">
        <v>4</v>
      </c>
      <c r="C12" s="42"/>
      <c r="D12" s="34">
        <v>3000</v>
      </c>
    </row>
    <row r="13" spans="2:4" ht="17.25" x14ac:dyDescent="0.3">
      <c r="B13" s="43" t="s">
        <v>3</v>
      </c>
      <c r="C13" s="44"/>
      <c r="D13" s="35">
        <v>0.01</v>
      </c>
    </row>
    <row r="14" spans="2:4" ht="18" thickBot="1" x14ac:dyDescent="0.35">
      <c r="B14" s="45" t="s">
        <v>32</v>
      </c>
      <c r="C14" s="46"/>
      <c r="D14" s="14">
        <f>salario*30%</f>
        <v>900</v>
      </c>
    </row>
    <row r="15" spans="2:4" ht="15.75" thickBot="1" x14ac:dyDescent="0.3"/>
    <row r="16" spans="2:4" ht="36" customHeight="1" x14ac:dyDescent="0.25">
      <c r="B16" s="50" t="s">
        <v>0</v>
      </c>
      <c r="C16" s="51"/>
      <c r="D16" s="52"/>
    </row>
    <row r="17" spans="1:4" ht="17.25" x14ac:dyDescent="0.3">
      <c r="B17" s="53" t="s">
        <v>22</v>
      </c>
      <c r="C17" s="54"/>
      <c r="D17" s="36">
        <v>900</v>
      </c>
    </row>
    <row r="18" spans="1:4" ht="17.25" x14ac:dyDescent="0.3">
      <c r="B18" s="43" t="s">
        <v>23</v>
      </c>
      <c r="C18" s="44"/>
      <c r="D18" s="37">
        <v>10</v>
      </c>
    </row>
    <row r="19" spans="1:4" ht="17.25" x14ac:dyDescent="0.3">
      <c r="B19" s="43" t="s">
        <v>24</v>
      </c>
      <c r="C19" s="44"/>
      <c r="D19" s="38">
        <v>1.0789999999999999E-2</v>
      </c>
    </row>
    <row r="20" spans="1:4" ht="17.25" x14ac:dyDescent="0.3">
      <c r="B20" s="55" t="s">
        <v>25</v>
      </c>
      <c r="C20" s="56"/>
      <c r="D20" s="12">
        <f>FV(taxa_mensal,qtd_anos*12,aporte*-1)</f>
        <v>218955.79127715499</v>
      </c>
    </row>
    <row r="21" spans="1:4" ht="18" thickBot="1" x14ac:dyDescent="0.35">
      <c r="B21" s="57" t="s">
        <v>26</v>
      </c>
      <c r="C21" s="58"/>
      <c r="D21" s="13">
        <f>patrimonio*rendimento_carteira</f>
        <v>2189.55791277155</v>
      </c>
    </row>
    <row r="22" spans="1:4" ht="15.75" thickBot="1" x14ac:dyDescent="0.3"/>
    <row r="23" spans="1:4" ht="33" customHeight="1" x14ac:dyDescent="0.25">
      <c r="B23" s="39" t="s">
        <v>1</v>
      </c>
      <c r="C23" s="40"/>
      <c r="D23" s="16" t="s">
        <v>2</v>
      </c>
    </row>
    <row r="24" spans="1:4" ht="17.25" x14ac:dyDescent="0.3">
      <c r="A24" s="1">
        <v>2</v>
      </c>
      <c r="B24" s="9" t="s">
        <v>27</v>
      </c>
      <c r="C24" s="10">
        <f>FV($D$19,$A24*12,$D$17*-1)</f>
        <v>24504.864567880697</v>
      </c>
      <c r="D24" s="11">
        <f>C24*rendimento_carteira</f>
        <v>245.04864567880696</v>
      </c>
    </row>
    <row r="25" spans="1:4" ht="17.25" x14ac:dyDescent="0.3">
      <c r="A25" s="1">
        <v>5</v>
      </c>
      <c r="B25" s="3" t="s">
        <v>29</v>
      </c>
      <c r="C25" s="4">
        <f>FV($D$19,$A25*12,$D$17*-1)</f>
        <v>75399.22259863888</v>
      </c>
      <c r="D25" s="5">
        <f>C25*rendimento_carteira</f>
        <v>753.9922259863888</v>
      </c>
    </row>
    <row r="26" spans="1:4" ht="17.25" x14ac:dyDescent="0.3">
      <c r="A26" s="1">
        <v>10</v>
      </c>
      <c r="B26" s="3" t="s">
        <v>28</v>
      </c>
      <c r="C26" s="4">
        <f>FV($D$19,$A26*12,$D$17*-1)</f>
        <v>218955.79127715499</v>
      </c>
      <c r="D26" s="5">
        <f>C26*rendimento_carteira</f>
        <v>2189.55791277155</v>
      </c>
    </row>
    <row r="27" spans="1:4" ht="17.25" x14ac:dyDescent="0.3">
      <c r="A27" s="1">
        <v>20</v>
      </c>
      <c r="B27" s="3" t="s">
        <v>30</v>
      </c>
      <c r="C27" s="4">
        <f>FV($D$19,$A27*12,$D$17*-1)</f>
        <v>1012678.5600873725</v>
      </c>
      <c r="D27" s="5">
        <f>C27*rendimento_carteira</f>
        <v>10126.785600873725</v>
      </c>
    </row>
    <row r="28" spans="1:4" ht="18" thickBot="1" x14ac:dyDescent="0.35">
      <c r="A28" s="1">
        <v>30</v>
      </c>
      <c r="B28" s="6" t="s">
        <v>31</v>
      </c>
      <c r="C28" s="7">
        <f>FV($D$19,$A28*12,$D$17*-1)</f>
        <v>3889952.689504243</v>
      </c>
      <c r="D28" s="8">
        <f>C28*rendimento_carteira</f>
        <v>38899.526895042429</v>
      </c>
    </row>
    <row r="32" spans="1:4" ht="17.25" x14ac:dyDescent="0.3">
      <c r="B32" s="26" t="s">
        <v>9</v>
      </c>
      <c r="C32" s="25" t="s">
        <v>6</v>
      </c>
      <c r="D32" s="15"/>
    </row>
    <row r="33" spans="2:4" ht="17.25" x14ac:dyDescent="0.3">
      <c r="B33" s="31" t="s">
        <v>8</v>
      </c>
      <c r="C33" s="32">
        <f>aporte</f>
        <v>900</v>
      </c>
      <c r="D33" s="33"/>
    </row>
    <row r="35" spans="2:4" ht="17.25" x14ac:dyDescent="0.3">
      <c r="B35" s="24" t="s">
        <v>10</v>
      </c>
      <c r="C35" s="24" t="s">
        <v>11</v>
      </c>
      <c r="D35" s="24" t="s">
        <v>12</v>
      </c>
    </row>
    <row r="36" spans="2:4" ht="16.5" x14ac:dyDescent="0.3">
      <c r="B36" s="27" t="s">
        <v>13</v>
      </c>
      <c r="C36" s="28">
        <f>VLOOKUP($C$32&amp;"-"&amp;B36,REF!A:D,4,)</f>
        <v>0.32</v>
      </c>
      <c r="D36" s="29">
        <f>C36*$C$33</f>
        <v>288</v>
      </c>
    </row>
    <row r="37" spans="2:4" ht="16.5" x14ac:dyDescent="0.3">
      <c r="B37" s="27" t="s">
        <v>14</v>
      </c>
      <c r="C37" s="28">
        <f>VLOOKUP($C$32&amp;"-"&amp;B37,REF!A:D,4,)</f>
        <v>0.35</v>
      </c>
      <c r="D37" s="29">
        <f t="shared" ref="D37:D41" si="0">C37*$C$33</f>
        <v>315</v>
      </c>
    </row>
    <row r="38" spans="2:4" ht="16.5" x14ac:dyDescent="0.3">
      <c r="B38" s="27" t="s">
        <v>15</v>
      </c>
      <c r="C38" s="28">
        <f>VLOOKUP($C$32&amp;"-"&amp;B38,REF!A:D,4,)</f>
        <v>0.08</v>
      </c>
      <c r="D38" s="29">
        <f t="shared" si="0"/>
        <v>72</v>
      </c>
    </row>
    <row r="39" spans="2:4" ht="16.5" x14ac:dyDescent="0.3">
      <c r="B39" s="27" t="s">
        <v>16</v>
      </c>
      <c r="C39" s="28">
        <f>VLOOKUP($C$32&amp;"-"&amp;B39,REF!A:D,4,)</f>
        <v>0.05</v>
      </c>
      <c r="D39" s="29">
        <f t="shared" si="0"/>
        <v>45</v>
      </c>
    </row>
    <row r="40" spans="2:4" ht="16.5" x14ac:dyDescent="0.3">
      <c r="B40" s="27" t="s">
        <v>17</v>
      </c>
      <c r="C40" s="28">
        <f>VLOOKUP($C$32&amp;"-"&amp;B40,REF!A:D,4,)</f>
        <v>0.1</v>
      </c>
      <c r="D40" s="29">
        <f t="shared" si="0"/>
        <v>90</v>
      </c>
    </row>
    <row r="41" spans="2:4" ht="16.5" x14ac:dyDescent="0.3">
      <c r="B41" s="27" t="s">
        <v>18</v>
      </c>
      <c r="C41" s="28">
        <f>VLOOKUP($C$32&amp;"-"&amp;B41,REF!A:D,4,)</f>
        <v>0.1</v>
      </c>
      <c r="D41" s="29">
        <f t="shared" si="0"/>
        <v>90</v>
      </c>
    </row>
    <row r="42" spans="2:4" ht="16.5" x14ac:dyDescent="0.3">
      <c r="B42" s="17"/>
      <c r="C42" s="17"/>
      <c r="D42" s="30">
        <f>SUM(D36:D41)</f>
        <v>900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sheetProtection sheet="1" objects="1" scenarios="1" selectLockedCells="1"/>
  <mergeCells count="11">
    <mergeCell ref="B23:C23"/>
    <mergeCell ref="B12:C12"/>
    <mergeCell ref="B13:C13"/>
    <mergeCell ref="B14:C14"/>
    <mergeCell ref="B11:D11"/>
    <mergeCell ref="B16:D16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7BF3C48E-937C-4785-80CA-D3756B047ADA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FAFA-4581-4FD6-B912-0A8203F35D11}">
  <dimension ref="A2:D20"/>
  <sheetViews>
    <sheetView showGridLines="0" workbookViewId="0">
      <selection activeCell="B20" sqref="B20"/>
    </sheetView>
  </sheetViews>
  <sheetFormatPr defaultRowHeight="15" x14ac:dyDescent="0.25"/>
  <cols>
    <col min="1" max="1" width="31.5703125" customWidth="1"/>
    <col min="2" max="2" width="12.85546875" bestFit="1" customWidth="1"/>
    <col min="3" max="3" width="18.5703125" bestFit="1" customWidth="1"/>
    <col min="7" max="7" width="16.85546875" bestFit="1" customWidth="1"/>
  </cols>
  <sheetData>
    <row r="2" spans="1:4" x14ac:dyDescent="0.25">
      <c r="A2" s="22" t="s">
        <v>20</v>
      </c>
      <c r="B2" s="22" t="s">
        <v>9</v>
      </c>
      <c r="C2" s="23" t="s">
        <v>10</v>
      </c>
      <c r="D2" s="23" t="s">
        <v>19</v>
      </c>
    </row>
    <row r="3" spans="1:4" x14ac:dyDescent="0.25">
      <c r="A3" t="str">
        <f>B3&amp;"-"&amp;C3</f>
        <v>Conservador-PAPEL</v>
      </c>
      <c r="B3" t="s">
        <v>21</v>
      </c>
      <c r="C3" s="2" t="s">
        <v>13</v>
      </c>
      <c r="D3" s="18">
        <v>0.3</v>
      </c>
    </row>
    <row r="4" spans="1:4" x14ac:dyDescent="0.25">
      <c r="A4" t="str">
        <f t="shared" ref="A4:A8" si="0">B4&amp;"-"&amp;C4</f>
        <v>Conservador-TIJOLO</v>
      </c>
      <c r="B4" t="s">
        <v>21</v>
      </c>
      <c r="C4" s="2" t="s">
        <v>14</v>
      </c>
      <c r="D4" s="18">
        <v>0.5</v>
      </c>
    </row>
    <row r="5" spans="1:4" x14ac:dyDescent="0.25">
      <c r="A5" t="str">
        <f t="shared" si="0"/>
        <v>Conservador-HÍBRIDOS</v>
      </c>
      <c r="B5" t="s">
        <v>21</v>
      </c>
      <c r="C5" s="2" t="s">
        <v>15</v>
      </c>
      <c r="D5" s="18">
        <v>0.1</v>
      </c>
    </row>
    <row r="6" spans="1:4" x14ac:dyDescent="0.25">
      <c r="A6" t="str">
        <f t="shared" si="0"/>
        <v>Conservador-FOFs</v>
      </c>
      <c r="B6" t="s">
        <v>21</v>
      </c>
      <c r="C6" s="2" t="s">
        <v>16</v>
      </c>
      <c r="D6" s="18">
        <v>0.1</v>
      </c>
    </row>
    <row r="7" spans="1:4" x14ac:dyDescent="0.25">
      <c r="A7" t="str">
        <f t="shared" si="0"/>
        <v>Conservador-DESENVOLVIMENTO</v>
      </c>
      <c r="B7" t="s">
        <v>21</v>
      </c>
      <c r="C7" s="2" t="s">
        <v>17</v>
      </c>
      <c r="D7" s="18">
        <v>0</v>
      </c>
    </row>
    <row r="8" spans="1:4" ht="15.75" thickBot="1" x14ac:dyDescent="0.3">
      <c r="A8" s="19" t="str">
        <f t="shared" si="0"/>
        <v>Conservador-HOTELARIAS</v>
      </c>
      <c r="B8" s="19" t="s">
        <v>21</v>
      </c>
      <c r="C8" s="20" t="s">
        <v>18</v>
      </c>
      <c r="D8" s="21">
        <v>0</v>
      </c>
    </row>
    <row r="9" spans="1:4" x14ac:dyDescent="0.25">
      <c r="A9" t="str">
        <f>B9&amp;"-"&amp;C9</f>
        <v>Moderado-PAPEL</v>
      </c>
      <c r="B9" t="s">
        <v>6</v>
      </c>
      <c r="C9" s="2" t="s">
        <v>13</v>
      </c>
      <c r="D9" s="18">
        <v>0.32</v>
      </c>
    </row>
    <row r="10" spans="1:4" x14ac:dyDescent="0.25">
      <c r="A10" t="str">
        <f t="shared" ref="A10:A14" si="1">B10&amp;"-"&amp;C10</f>
        <v>Moderado-TIJOLO</v>
      </c>
      <c r="B10" t="s">
        <v>6</v>
      </c>
      <c r="C10" s="2" t="s">
        <v>14</v>
      </c>
      <c r="D10" s="18">
        <v>0.35</v>
      </c>
    </row>
    <row r="11" spans="1:4" x14ac:dyDescent="0.25">
      <c r="A11" t="str">
        <f t="shared" si="1"/>
        <v>Moderado-HÍBRIDOS</v>
      </c>
      <c r="B11" t="s">
        <v>6</v>
      </c>
      <c r="C11" s="2" t="s">
        <v>15</v>
      </c>
      <c r="D11" s="18">
        <v>0.08</v>
      </c>
    </row>
    <row r="12" spans="1:4" x14ac:dyDescent="0.25">
      <c r="A12" t="str">
        <f t="shared" si="1"/>
        <v>Moderado-FOFs</v>
      </c>
      <c r="B12" t="s">
        <v>6</v>
      </c>
      <c r="C12" s="2" t="s">
        <v>16</v>
      </c>
      <c r="D12" s="18">
        <v>0.05</v>
      </c>
    </row>
    <row r="13" spans="1:4" x14ac:dyDescent="0.25">
      <c r="A13" t="str">
        <f t="shared" si="1"/>
        <v>Moderado-DESENVOLVIMENTO</v>
      </c>
      <c r="B13" t="s">
        <v>6</v>
      </c>
      <c r="C13" s="2" t="s">
        <v>17</v>
      </c>
      <c r="D13" s="18">
        <v>0.1</v>
      </c>
    </row>
    <row r="14" spans="1:4" ht="15.75" thickBot="1" x14ac:dyDescent="0.3">
      <c r="A14" s="19" t="str">
        <f t="shared" si="1"/>
        <v>Moderado-HOTELARIAS</v>
      </c>
      <c r="B14" s="19" t="s">
        <v>6</v>
      </c>
      <c r="C14" s="20" t="s">
        <v>18</v>
      </c>
      <c r="D14" s="21">
        <v>0.1</v>
      </c>
    </row>
    <row r="15" spans="1:4" x14ac:dyDescent="0.25">
      <c r="A15" t="str">
        <f>B15&amp;"-"&amp;C15</f>
        <v>Agressivo-PAPEL</v>
      </c>
      <c r="B15" t="s">
        <v>7</v>
      </c>
      <c r="C15" s="2" t="s">
        <v>13</v>
      </c>
      <c r="D15" s="18">
        <v>0.5</v>
      </c>
    </row>
    <row r="16" spans="1:4" x14ac:dyDescent="0.25">
      <c r="A16" t="str">
        <f t="shared" ref="A16:A20" si="2">B16&amp;"-"&amp;C16</f>
        <v>Agressivo-TIJOLO</v>
      </c>
      <c r="B16" t="s">
        <v>7</v>
      </c>
      <c r="C16" s="2" t="s">
        <v>14</v>
      </c>
      <c r="D16" s="18">
        <v>0.1</v>
      </c>
    </row>
    <row r="17" spans="1:4" x14ac:dyDescent="0.25">
      <c r="A17" t="str">
        <f t="shared" si="2"/>
        <v>Agressivo-HÍBRIDOS</v>
      </c>
      <c r="B17" t="s">
        <v>7</v>
      </c>
      <c r="C17" s="2" t="s">
        <v>15</v>
      </c>
      <c r="D17" s="18">
        <v>0.05</v>
      </c>
    </row>
    <row r="18" spans="1:4" x14ac:dyDescent="0.25">
      <c r="A18" t="str">
        <f t="shared" si="2"/>
        <v>Agressivo-FOFs</v>
      </c>
      <c r="B18" t="s">
        <v>7</v>
      </c>
      <c r="C18" s="2" t="s">
        <v>16</v>
      </c>
      <c r="D18" s="18">
        <v>0.05</v>
      </c>
    </row>
    <row r="19" spans="1:4" x14ac:dyDescent="0.25">
      <c r="A19" t="str">
        <f t="shared" si="2"/>
        <v>Agressivo-DESENVOLVIMENTO</v>
      </c>
      <c r="B19" t="s">
        <v>7</v>
      </c>
      <c r="C19" s="2" t="s">
        <v>17</v>
      </c>
      <c r="D19" s="18">
        <v>0.2</v>
      </c>
    </row>
    <row r="20" spans="1:4" x14ac:dyDescent="0.25">
      <c r="A20" t="str">
        <f t="shared" si="2"/>
        <v>Agressivo-HOTELARIAS</v>
      </c>
      <c r="B20" t="s">
        <v>7</v>
      </c>
      <c r="C20" s="2" t="s">
        <v>18</v>
      </c>
      <c r="D20" s="18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REF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</dc:creator>
  <cp:keywords/>
  <dc:description/>
  <cp:lastModifiedBy>Matheus Salvador</cp:lastModifiedBy>
  <cp:revision/>
  <dcterms:created xsi:type="dcterms:W3CDTF">2025-12-16T18:45:35Z</dcterms:created>
  <dcterms:modified xsi:type="dcterms:W3CDTF">2026-01-15T14:57:33Z</dcterms:modified>
  <cp:category/>
  <cp:contentStatus/>
</cp:coreProperties>
</file>